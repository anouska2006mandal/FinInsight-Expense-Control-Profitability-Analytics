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7b2427775277d3/Desktop/FinInsight_Project/Excel/"/>
    </mc:Choice>
  </mc:AlternateContent>
  <xr:revisionPtr revIDLastSave="10" documentId="8_{0BA103E6-4BE4-4ED9-86CA-9C1A4B427907}" xr6:coauthVersionLast="47" xr6:coauthVersionMax="47" xr10:uidLastSave="{3C3EC453-B2E1-4D11-8B6F-33B68B43740B}"/>
  <bookViews>
    <workbookView xWindow="-120" yWindow="-120" windowWidth="20730" windowHeight="11040" activeTab="5" xr2:uid="{0B195951-8279-4D74-8AF2-F6DD482CF5C4}"/>
  </bookViews>
  <sheets>
    <sheet name="Budget" sheetId="1" r:id="rId1"/>
    <sheet name="Expenses" sheetId="2" r:id="rId2"/>
    <sheet name="Revenue" sheetId="3" r:id="rId3"/>
    <sheet name="KPI" sheetId="4" r:id="rId4"/>
    <sheet name="Variance" sheetId="5" r:id="rId5"/>
    <sheet name="Profitability" sheetId="7" r:id="rId6"/>
    <sheet name="Dashboard" sheetId="6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2" i="5"/>
  <c r="E3" i="7"/>
  <c r="E4" i="7"/>
  <c r="E5" i="7"/>
  <c r="E6" i="7"/>
  <c r="A5" i="6"/>
  <c r="E2" i="7"/>
  <c r="D3" i="7"/>
  <c r="D4" i="7"/>
  <c r="D5" i="7"/>
  <c r="D6" i="7"/>
  <c r="D2" i="7"/>
  <c r="C3" i="7"/>
  <c r="C4" i="7"/>
  <c r="C5" i="7"/>
  <c r="C6" i="7"/>
  <c r="C2" i="7"/>
  <c r="B3" i="7"/>
  <c r="B4" i="7"/>
  <c r="B5" i="7"/>
  <c r="B6" i="7"/>
  <c r="B2" i="7"/>
  <c r="B4" i="5"/>
  <c r="B5" i="5"/>
  <c r="B6" i="5"/>
  <c r="G5" i="6"/>
  <c r="E5" i="6"/>
  <c r="C5" i="6"/>
  <c r="E3" i="5"/>
  <c r="E2" i="5"/>
  <c r="D3" i="5"/>
  <c r="D2" i="5"/>
  <c r="C3" i="5"/>
  <c r="C4" i="5"/>
  <c r="C5" i="5"/>
  <c r="C6" i="5"/>
  <c r="C2" i="5"/>
  <c r="B3" i="5"/>
  <c r="B2" i="5"/>
  <c r="B9" i="4"/>
  <c r="B7" i="4"/>
  <c r="B6" i="4"/>
  <c r="D62" i="3"/>
  <c r="C62" i="3"/>
  <c r="D52" i="2"/>
  <c r="C62" i="1"/>
  <c r="D5" i="5" l="1"/>
  <c r="D6" i="5"/>
  <c r="D4" i="5"/>
  <c r="B8" i="4"/>
  <c r="E5" i="5" l="1"/>
  <c r="E6" i="5"/>
  <c r="E4" i="5"/>
</calcChain>
</file>

<file path=xl/sharedStrings.xml><?xml version="1.0" encoding="utf-8"?>
<sst xmlns="http://schemas.openxmlformats.org/spreadsheetml/2006/main" count="387" uniqueCount="59">
  <si>
    <t>Department</t>
  </si>
  <si>
    <t>Month</t>
  </si>
  <si>
    <t>Budget</t>
  </si>
  <si>
    <t>Sales</t>
  </si>
  <si>
    <t>Jan</t>
  </si>
  <si>
    <t>Marketing</t>
  </si>
  <si>
    <t>HR</t>
  </si>
  <si>
    <t>IT</t>
  </si>
  <si>
    <t>Finance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</si>
  <si>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</si>
  <si>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</si>
  <si>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</si>
  <si>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</si>
  <si>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</si>
  <si>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</si>
  <si>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</si>
  <si>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</si>
  <si>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</si>
  <si>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</si>
  <si>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</si>
  <si>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</si>
  <si>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Category</t>
  </si>
  <si>
    <t>Amount</t>
  </si>
  <si>
    <t>Travel</t>
  </si>
  <si>
    <t>Advertising</t>
  </si>
  <si>
    <t>Recruitment</t>
  </si>
  <si>
    <t>Software</t>
  </si>
  <si>
    <t>Office Supplies</t>
  </si>
  <si>
    <t>Client Meeting</t>
  </si>
  <si>
    <t>Social Media</t>
  </si>
  <si>
    <t>Hardware</t>
  </si>
  <si>
    <t>Training</t>
  </si>
  <si>
    <t>Audit</t>
  </si>
  <si>
    <t>Events</t>
  </si>
  <si>
    <t>Product</t>
  </si>
  <si>
    <t>Revenue</t>
  </si>
  <si>
    <t>Cost</t>
  </si>
  <si>
    <t>Product A</t>
  </si>
  <si>
    <t>Product B</t>
  </si>
  <si>
    <t>Product C</t>
  </si>
  <si>
    <t>Product D</t>
  </si>
  <si>
    <t>Product E</t>
  </si>
  <si>
    <t>Total Budget</t>
  </si>
  <si>
    <t>Total Expenses</t>
  </si>
  <si>
    <t>Variance</t>
  </si>
  <si>
    <t>Variance %</t>
  </si>
  <si>
    <t>Status</t>
  </si>
  <si>
    <t>KPI</t>
  </si>
  <si>
    <t>Value</t>
  </si>
  <si>
    <t>Total Revenue</t>
  </si>
  <si>
    <t>Total Cost</t>
  </si>
  <si>
    <t>Total Profit</t>
  </si>
  <si>
    <t>Budget Utilization (%)</t>
  </si>
  <si>
    <t>Contribution Margin (%)</t>
  </si>
  <si>
    <t>Burn Rate</t>
  </si>
  <si>
    <t>Total Expences</t>
  </si>
  <si>
    <t>Profit</t>
  </si>
  <si>
    <t>Profit Margin %</t>
  </si>
  <si>
    <t xml:space="preserve">FinInsight - Expense Control &amp; Profitability Dashboard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</si>
</sst>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16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9" fontId="0" fillId="0" borderId="0" xfId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 vs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Variance!$A$2:$A$6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HR</c:v>
                </c:pt>
                <c:pt idx="3">
                  <c:v>IT</c:v>
                </c:pt>
                <c:pt idx="4">
                  <c:v>Finance</c:v>
                </c:pt>
              </c:strCache>
            </c:strRef>
          </c:cat>
          <c:val>
            <c:numRef>
              <c:f>Variance!$B$2:$B$6</c:f>
              <c:numCache>
                <c:formatCode>General</c:formatCode>
                <c:ptCount val="5"/>
                <c:pt idx="0">
                  <c:v>667000</c:v>
                </c:pt>
                <c:pt idx="1">
                  <c:v>547000</c:v>
                </c:pt>
                <c:pt idx="2">
                  <c:v>211000</c:v>
                </c:pt>
                <c:pt idx="3">
                  <c:v>391000</c:v>
                </c:pt>
                <c:pt idx="4">
                  <c:v>271000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9-465F-8C39-2C965EF3DA3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Variance!$A$2:$A$6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HR</c:v>
                </c:pt>
                <c:pt idx="3">
                  <c:v>IT</c:v>
                </c:pt>
                <c:pt idx="4">
                  <c:v>Finance</c:v>
                </c:pt>
              </c:strCache>
            </c:strRef>
          </c:cat>
          <c:val>
            <c:numRef>
              <c:f>Variance!$C$2:$C$6</c:f>
              <c:numCache>
                <c:formatCode>General</c:formatCode>
                <c:ptCount val="5"/>
                <c:pt idx="0">
                  <c:v>61800</c:v>
                </c:pt>
                <c:pt idx="1">
                  <c:v>117300</c:v>
                </c:pt>
                <c:pt idx="2">
                  <c:v>40400</c:v>
                </c:pt>
                <c:pt idx="3">
                  <c:v>101300</c:v>
                </c:pt>
                <c:pt idx="4">
                  <c:v>41900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9-465F-8C39-2C965EF3D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1144959"/>
        <c:axId val="1161142079"/>
        <c:axId val="0"/>
      </c:bar3DChart>
      <c:catAx>
        <c:axId val="116114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42079"/>
        <c:crosses val="autoZero"/>
        <c:auto val="1"/>
        <c:lblAlgn val="ctr"/>
        <c:lblOffset val="100"/>
        <c:noMultiLvlLbl val="0"/>
      </c:catAx>
      <c:valAx>
        <c:axId val="116114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4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Variance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Variance!$B$1</c:f>
              <c:strCache>
                <c:ptCount val="1"/>
                <c:pt idx="0">
                  <c:v>Total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Variance!$A$2:$A$6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HR</c:v>
                </c:pt>
                <c:pt idx="3">
                  <c:v>IT</c:v>
                </c:pt>
                <c:pt idx="4">
                  <c:v>Finance</c:v>
                </c:pt>
              </c:strCache>
            </c:strRef>
          </c:cat>
          <c:val>
            <c:numRef>
              <c:f>Variance!$B$2:$B$6</c:f>
              <c:numCache>
                <c:formatCode>General</c:formatCode>
                <c:ptCount val="5"/>
                <c:pt idx="0">
                  <c:v>667000</c:v>
                </c:pt>
                <c:pt idx="1">
                  <c:v>547000</c:v>
                </c:pt>
                <c:pt idx="2">
                  <c:v>211000</c:v>
                </c:pt>
                <c:pt idx="3">
                  <c:v>391000</c:v>
                </c:pt>
                <c:pt idx="4">
                  <c:v>271000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5-4630-8F46-B15C94770AAE}"/>
            </c:ext>
          </c:extLst>
        </c:ser>
        <c:ser>
          <c:idx val="1"/>
          <c:order val="1"/>
          <c:tx>
            <c:strRef>
              <c:f>Variance!$C$1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Variance!$A$2:$A$6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HR</c:v>
                </c:pt>
                <c:pt idx="3">
                  <c:v>IT</c:v>
                </c:pt>
                <c:pt idx="4">
                  <c:v>Finance</c:v>
                </c:pt>
              </c:strCache>
            </c:strRef>
          </c:cat>
          <c:val>
            <c:numRef>
              <c:f>Variance!$C$2:$C$6</c:f>
              <c:numCache>
                <c:formatCode>General</c:formatCode>
                <c:ptCount val="5"/>
                <c:pt idx="0">
                  <c:v>61800</c:v>
                </c:pt>
                <c:pt idx="1">
                  <c:v>117300</c:v>
                </c:pt>
                <c:pt idx="2">
                  <c:v>40400</c:v>
                </c:pt>
                <c:pt idx="3">
                  <c:v>101300</c:v>
                </c:pt>
                <c:pt idx="4">
                  <c:v>41900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5-4630-8F46-B15C94770AAE}"/>
            </c:ext>
          </c:extLst>
        </c:ser>
        <c:ser>
          <c:idx val="2"/>
          <c:order val="2"/>
          <c:tx>
            <c:strRef>
              <c:f>Variance!$D$1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Variance!$A$2:$A$6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HR</c:v>
                </c:pt>
                <c:pt idx="3">
                  <c:v>IT</c:v>
                </c:pt>
                <c:pt idx="4">
                  <c:v>Finance</c:v>
                </c:pt>
              </c:strCache>
            </c:strRef>
          </c:cat>
          <c:val>
            <c:numRef>
              <c:f>Variance!$D$2:$D$6</c:f>
              <c:numCache>
                <c:formatCode>General</c:formatCode>
                <c:ptCount val="5"/>
                <c:pt idx="0">
                  <c:v>605200</c:v>
                </c:pt>
                <c:pt idx="1">
                  <c:v>429700</c:v>
                </c:pt>
                <c:pt idx="2">
                  <c:v>170600</c:v>
                </c:pt>
                <c:pt idx="3">
                  <c:v>289700</c:v>
                </c:pt>
                <c:pt idx="4">
                  <c:v>229100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A5-4630-8F46-B15C94770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1125279"/>
        <c:axId val="1161131519"/>
        <c:axId val="0"/>
      </c:bar3DChart>
      <c:catAx>
        <c:axId val="116112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31519"/>
        <c:crosses val="autoZero"/>
        <c:auto val="1"/>
        <c:lblAlgn val="ctr"/>
        <c:lblOffset val="100"/>
        <c:noMultiLvlLbl val="0"/>
      </c:catAx>
      <c:valAx>
        <c:axId val="116113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2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Profit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Profitability!$B$1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Profitability!$A$2:$A$6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Profitability!$B$2:$B$6</c:f>
              <c:numCache>
                <c:formatCode>General</c:formatCode>
                <c:ptCount val="5"/>
                <c:pt idx="0">
                  <c:v>1633000</c:v>
                </c:pt>
                <c:pt idx="1">
                  <c:v>1095000</c:v>
                </c:pt>
                <c:pt idx="2">
                  <c:v>1965000</c:v>
                </c:pt>
                <c:pt idx="3">
                  <c:v>829000</c:v>
                </c:pt>
                <c:pt idx="4">
                  <c:v>1365000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C-46AD-B8EB-54AA2BBC05E5}"/>
            </c:ext>
          </c:extLst>
        </c:ser>
        <c:ser>
          <c:idx val="1"/>
          <c:order val="1"/>
          <c:tx>
            <c:strRef>
              <c:f>Profitability!$C$1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Profitability!$A$2:$A$6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Profitability!$C$2:$C$6</c:f>
              <c:numCache>
                <c:formatCode>General</c:formatCode>
                <c:ptCount val="5"/>
                <c:pt idx="0">
                  <c:v>927000</c:v>
                </c:pt>
                <c:pt idx="1">
                  <c:v>786000</c:v>
                </c:pt>
                <c:pt idx="2">
                  <c:v>1163000</c:v>
                </c:pt>
                <c:pt idx="3">
                  <c:v>726000</c:v>
                </c:pt>
                <c:pt idx="4">
                  <c:v>846000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1C-46AD-B8EB-54AA2BBC05E5}"/>
            </c:ext>
          </c:extLst>
        </c:ser>
        <c:ser>
          <c:idx val="2"/>
          <c:order val="2"/>
          <c:tx>
            <c:strRef>
              <c:f>Profitability!$D$1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Profitability!$A$2:$A$6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Profitability!$D$2:$D$6</c:f>
              <c:numCache>
                <c:formatCode>General</c:formatCode>
                <c:ptCount val="5"/>
                <c:pt idx="0">
                  <c:v>706000</c:v>
                </c:pt>
                <c:pt idx="1">
                  <c:v>309000</c:v>
                </c:pt>
                <c:pt idx="2">
                  <c:v>802000</c:v>
                </c:pt>
                <c:pt idx="3">
                  <c:v>103000</c:v>
                </c:pt>
                <c:pt idx="4">
                  <c:v>519000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1C-46AD-B8EB-54AA2BBC0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1209279"/>
        <c:axId val="1161190559"/>
        <c:axId val="0"/>
      </c:bar3DChart>
      <c:catAx>
        <c:axId val="116120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90559"/>
        <c:crosses val="autoZero"/>
        <c:auto val="1"/>
        <c:lblAlgn val="ctr"/>
        <c:lblOffset val="100"/>
        <c:noMultiLvlLbl val="0"/>
      </c:catAx>
      <c:valAx>
        <c:axId val="116119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20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vs Cost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Profitability!$B$1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Profitability!$A$2:$A$6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Profitability!$B$2:$B$6</c:f>
              <c:numCache>
                <c:formatCode>General</c:formatCode>
                <c:ptCount val="5"/>
                <c:pt idx="0">
                  <c:v>1633000</c:v>
                </c:pt>
                <c:pt idx="1">
                  <c:v>1095000</c:v>
                </c:pt>
                <c:pt idx="2">
                  <c:v>1965000</c:v>
                </c:pt>
                <c:pt idx="3">
                  <c:v>829000</c:v>
                </c:pt>
                <c:pt idx="4">
                  <c:v>1365000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2-4654-9261-FF69FA359F02}"/>
            </c:ext>
          </c:extLst>
        </c:ser>
        <c:ser>
          <c:idx val="1"/>
          <c:order val="1"/>
          <c:tx>
            <c:strRef>
              <c:f>Profitability!$C$1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Profitability!$A$2:$A$6</c:f>
              <c:strCache>
                <c:ptCount val="5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</c:strCache>
            </c:strRef>
          </c:cat>
          <c:val>
            <c:numRef>
              <c:f>Profitability!$C$2:$C$6</c:f>
              <c:numCache>
                <c:formatCode>General</c:formatCode>
                <c:ptCount val="5"/>
                <c:pt idx="0">
                  <c:v>927000</c:v>
                </c:pt>
                <c:pt idx="1">
                  <c:v>786000</c:v>
                </c:pt>
                <c:pt idx="2">
                  <c:v>1163000</c:v>
                </c:pt>
                <c:pt idx="3">
                  <c:v>726000</c:v>
                </c:pt>
                <c:pt idx="4">
                  <c:v>846000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2-4654-9261-FF69FA359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1169439"/>
        <c:axId val="1161179519"/>
        <c:axId val="0"/>
      </c:bar3DChart>
      <c:catAx>
        <c:axId val="116116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79519"/>
        <c:crosses val="autoZero"/>
        <c:auto val="1"/>
        <c:lblAlgn val="ctr"/>
        <c:lblOffset val="100"/>
        <c:noMultiLvlLbl val="0"/>
      </c:catAx>
      <c:valAx>
        <c:axId val="11611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6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19050</xdr:rowOff>
    </xdr:from>
    <xdr:to>
      <xdr:col>1</xdr:col>
      <xdr:colOff>-1</xdr:colOff>
      <xdr:row>21</xdr:row>
      <xdr:rowOff>183814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30D078-2599-412D-BC98-5DDC4CA62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</xdr:colOff>
      <xdr:row>7</xdr:row>
      <xdr:rowOff>190499</xdr:rowOff>
    </xdr:from>
    <xdr:to>
      <xdr:col>3</xdr:col>
      <xdr:colOff>0</xdr:colOff>
      <xdr:row>22</xdr:row>
      <xdr:rowOff>13607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63A71F-7567-4F40-A09D-F4B0E4EFD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8</xdr:row>
      <xdr:rowOff>13229</xdr:rowOff>
    </xdr:from>
    <xdr:to>
      <xdr:col>5</xdr:col>
      <xdr:colOff>0</xdr:colOff>
      <xdr:row>22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F04B30-35DF-4A61-B575-B5ECB9ADA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</xdr:colOff>
      <xdr:row>8</xdr:row>
      <xdr:rowOff>20266</xdr:rowOff>
    </xdr:from>
    <xdr:to>
      <xdr:col>7</xdr:col>
      <xdr:colOff>40533</xdr:colOff>
      <xdr:row>22</xdr:row>
      <xdr:rowOff>123824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B74CD9F-AFE2-4875-9BC0-A8826F623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9063-318C-4873-A5D1-B5417CE16DFF}">
  <dimension ref="A1:C62"/>
  <sheetViews>
    <sheetView zoomScale="95" workbookViewId="0">
      <selection activeCell="I14" sqref="I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50000</v>
      </c>
    </row>
    <row r="3" spans="1:3" x14ac:dyDescent="0.25">
      <c r="A3" t="s">
        <v>5</v>
      </c>
      <c r="B3" t="s">
        <v>4</v>
      </c>
      <c r="C3">
        <v>40000</v>
      </c>
    </row>
    <row r="4" spans="1:3" x14ac:dyDescent="0.25">
      <c r="A4" t="s">
        <v>6</v>
      </c>
      <c r="B4" t="s">
        <v>4</v>
      </c>
      <c r="C4">
        <v>15000</v>
      </c>
    </row>
    <row r="5" spans="1:3" x14ac:dyDescent="0.25">
      <c r="A5" t="s">
        <v>7</v>
      </c>
      <c r="B5" t="s">
        <v>4</v>
      </c>
      <c r="C5">
        <v>30000</v>
      </c>
    </row>
    <row r="6" spans="1:3" x14ac:dyDescent="0.25">
      <c r="A6" t="s">
        <v>8</v>
      </c>
      <c r="B6" t="s">
        <v>4</v>
      </c>
      <c r="C6">
        <v>20000</v>
      </c>
    </row>
    <row r="7" spans="1:3" x14ac:dyDescent="0.25">
      <c r="A7" t="s">
        <v>3</v>
      </c>
      <c r="B7" t="s">
        <v>9</v>
      </c>
      <c r="C7">
        <v>52000</v>
      </c>
    </row>
    <row r="8" spans="1:3" x14ac:dyDescent="0.25">
      <c r="A8" t="s">
        <v>5</v>
      </c>
      <c r="B8" t="s">
        <v>9</v>
      </c>
      <c r="C8">
        <v>41000</v>
      </c>
    </row>
    <row r="9" spans="1:3" x14ac:dyDescent="0.25">
      <c r="A9" t="s">
        <v>6</v>
      </c>
      <c r="B9" t="s">
        <v>9</v>
      </c>
      <c r="C9">
        <v>15000</v>
      </c>
    </row>
    <row r="10" spans="1:3" x14ac:dyDescent="0.25">
      <c r="A10" t="s">
        <v>7</v>
      </c>
      <c r="B10" t="s">
        <v>9</v>
      </c>
      <c r="C10">
        <v>30000</v>
      </c>
    </row>
    <row r="11" spans="1:3" x14ac:dyDescent="0.25">
      <c r="A11" t="s">
        <v>8</v>
      </c>
      <c r="B11" t="s">
        <v>9</v>
      </c>
      <c r="C11">
        <v>20000</v>
      </c>
    </row>
    <row r="12" spans="1:3" x14ac:dyDescent="0.25">
      <c r="A12" t="s">
        <v>3</v>
      </c>
      <c r="B12" t="s">
        <v>10</v>
      </c>
      <c r="C12">
        <v>51000</v>
      </c>
    </row>
    <row r="13" spans="1:3" x14ac:dyDescent="0.25">
      <c r="A13" t="s">
        <v>5</v>
      </c>
      <c r="B13" t="s">
        <v>10</v>
      </c>
      <c r="C13">
        <v>42000</v>
      </c>
    </row>
    <row r="14" spans="1:3" x14ac:dyDescent="0.25">
      <c r="A14" t="s">
        <v>6</v>
      </c>
      <c r="B14" t="s">
        <v>10</v>
      </c>
      <c r="C14">
        <v>16000</v>
      </c>
    </row>
    <row r="15" spans="1:3" x14ac:dyDescent="0.25">
      <c r="A15" t="s">
        <v>7</v>
      </c>
      <c r="B15" t="s">
        <v>10</v>
      </c>
      <c r="C15">
        <v>31000</v>
      </c>
    </row>
    <row r="16" spans="1:3" x14ac:dyDescent="0.25">
      <c r="A16" t="s">
        <v>8</v>
      </c>
      <c r="B16" t="s">
        <v>10</v>
      </c>
      <c r="C16">
        <v>21000</v>
      </c>
    </row>
    <row r="17" spans="1:3" x14ac:dyDescent="0.25">
      <c r="A17" t="s">
        <v>3</v>
      </c>
      <c r="B17" t="s">
        <v>11</v>
      </c>
      <c r="C17">
        <v>53000</v>
      </c>
    </row>
    <row r="18" spans="1:3" x14ac:dyDescent="0.25">
      <c r="A18" t="s">
        <v>5</v>
      </c>
      <c r="B18" t="s">
        <v>11</v>
      </c>
      <c r="C18">
        <v>43000</v>
      </c>
    </row>
    <row r="19" spans="1:3" x14ac:dyDescent="0.25">
      <c r="A19" t="s">
        <v>6</v>
      </c>
      <c r="B19" t="s">
        <v>11</v>
      </c>
      <c r="C19">
        <v>16000</v>
      </c>
    </row>
    <row r="20" spans="1:3" x14ac:dyDescent="0.25">
      <c r="A20" t="s">
        <v>7</v>
      </c>
      <c r="B20" t="s">
        <v>11</v>
      </c>
      <c r="C20">
        <v>31000</v>
      </c>
    </row>
    <row r="21" spans="1:3" x14ac:dyDescent="0.25">
      <c r="A21" t="s">
        <v>8</v>
      </c>
      <c r="B21" t="s">
        <v>11</v>
      </c>
      <c r="C21">
        <v>21000</v>
      </c>
    </row>
    <row r="22" spans="1:3" x14ac:dyDescent="0.25">
      <c r="A22" t="s">
        <v>3</v>
      </c>
      <c r="B22" t="s">
        <v>12</v>
      </c>
      <c r="C22">
        <v>54000</v>
      </c>
    </row>
    <row r="23" spans="1:3" x14ac:dyDescent="0.25">
      <c r="A23" t="s">
        <v>5</v>
      </c>
      <c r="B23" t="s">
        <v>12</v>
      </c>
      <c r="C23">
        <v>44000</v>
      </c>
    </row>
    <row r="24" spans="1:3" x14ac:dyDescent="0.25">
      <c r="A24" t="s">
        <v>6</v>
      </c>
      <c r="B24" t="s">
        <v>12</v>
      </c>
      <c r="C24">
        <v>17000</v>
      </c>
    </row>
    <row r="25" spans="1:3" x14ac:dyDescent="0.25">
      <c r="A25" t="s">
        <v>7</v>
      </c>
      <c r="B25" t="s">
        <v>12</v>
      </c>
      <c r="C25">
        <v>32000</v>
      </c>
    </row>
    <row r="26" spans="1:3" x14ac:dyDescent="0.25">
      <c r="A26" t="s">
        <v>8</v>
      </c>
      <c r="B26" t="s">
        <v>12</v>
      </c>
      <c r="C26">
        <v>22000</v>
      </c>
    </row>
    <row r="27" spans="1:3" x14ac:dyDescent="0.25">
      <c r="A27" t="s">
        <v>3</v>
      </c>
      <c r="B27" t="s">
        <v>13</v>
      </c>
      <c r="C27">
        <v>55000</v>
      </c>
    </row>
    <row r="28" spans="1:3" x14ac:dyDescent="0.25">
      <c r="A28" t="s">
        <v>5</v>
      </c>
      <c r="B28" t="s">
        <v>13</v>
      </c>
      <c r="C28">
        <v>45000</v>
      </c>
    </row>
    <row r="29" spans="1:3" x14ac:dyDescent="0.25">
      <c r="A29" t="s">
        <v>6</v>
      </c>
      <c r="B29" t="s">
        <v>13</v>
      </c>
      <c r="C29">
        <v>17000</v>
      </c>
    </row>
    <row r="30" spans="1:3" x14ac:dyDescent="0.25">
      <c r="A30" t="s">
        <v>7</v>
      </c>
      <c r="B30" t="s">
        <v>13</v>
      </c>
      <c r="C30">
        <v>32000</v>
      </c>
    </row>
    <row r="31" spans="1:3" x14ac:dyDescent="0.25">
      <c r="A31" t="s">
        <v>8</v>
      </c>
      <c r="B31" t="s">
        <v>13</v>
      </c>
      <c r="C31">
        <v>22000</v>
      </c>
    </row>
    <row r="32" spans="1:3" x14ac:dyDescent="0.25">
      <c r="A32" t="s">
        <v>3</v>
      </c>
      <c r="B32" t="s">
        <v>14</v>
      </c>
      <c r="C32">
        <v>56000</v>
      </c>
    </row>
    <row r="33" spans="1:3" x14ac:dyDescent="0.25">
      <c r="A33" t="s">
        <v>5</v>
      </c>
      <c r="B33" t="s">
        <v>14</v>
      </c>
      <c r="C33">
        <v>46000</v>
      </c>
    </row>
    <row r="34" spans="1:3" x14ac:dyDescent="0.25">
      <c r="A34" t="s">
        <v>6</v>
      </c>
      <c r="B34" t="s">
        <v>14</v>
      </c>
      <c r="C34">
        <v>18000</v>
      </c>
    </row>
    <row r="35" spans="1:3" x14ac:dyDescent="0.25">
      <c r="A35" t="s">
        <v>7</v>
      </c>
      <c r="B35" t="s">
        <v>14</v>
      </c>
      <c r="C35">
        <v>33000</v>
      </c>
    </row>
    <row r="36" spans="1:3" x14ac:dyDescent="0.25">
      <c r="A36" t="s">
        <v>8</v>
      </c>
      <c r="B36" t="s">
        <v>14</v>
      </c>
      <c r="C36">
        <v>23000</v>
      </c>
    </row>
    <row r="37" spans="1:3" x14ac:dyDescent="0.25">
      <c r="A37" t="s">
        <v>3</v>
      </c>
      <c r="B37" t="s">
        <v>15</v>
      </c>
      <c r="C37">
        <v>57000</v>
      </c>
    </row>
    <row r="38" spans="1:3" x14ac:dyDescent="0.25">
      <c r="A38" t="s">
        <v>5</v>
      </c>
      <c r="B38" t="s">
        <v>15</v>
      </c>
      <c r="C38">
        <v>47000</v>
      </c>
    </row>
    <row r="39" spans="1:3" x14ac:dyDescent="0.25">
      <c r="A39" t="s">
        <v>6</v>
      </c>
      <c r="B39" t="s">
        <v>15</v>
      </c>
      <c r="C39">
        <v>18000</v>
      </c>
    </row>
    <row r="40" spans="1:3" x14ac:dyDescent="0.25">
      <c r="A40" t="s">
        <v>7</v>
      </c>
      <c r="B40" t="s">
        <v>15</v>
      </c>
      <c r="C40">
        <v>33000</v>
      </c>
    </row>
    <row r="41" spans="1:3" x14ac:dyDescent="0.25">
      <c r="A41" t="s">
        <v>8</v>
      </c>
      <c r="B41" t="s">
        <v>15</v>
      </c>
      <c r="C41">
        <v>23000</v>
      </c>
    </row>
    <row r="42" spans="1:3" x14ac:dyDescent="0.25">
      <c r="A42" t="s">
        <v>3</v>
      </c>
      <c r="B42" t="s">
        <v>16</v>
      </c>
      <c r="C42">
        <v>58000</v>
      </c>
    </row>
    <row r="43" spans="1:3" x14ac:dyDescent="0.25">
      <c r="A43" t="s">
        <v>5</v>
      </c>
      <c r="B43" t="s">
        <v>16</v>
      </c>
      <c r="C43">
        <v>48000</v>
      </c>
    </row>
    <row r="44" spans="1:3" x14ac:dyDescent="0.25">
      <c r="A44" t="s">
        <v>6</v>
      </c>
      <c r="B44" t="s">
        <v>16</v>
      </c>
      <c r="C44">
        <v>19000</v>
      </c>
    </row>
    <row r="45" spans="1:3" x14ac:dyDescent="0.25">
      <c r="A45" t="s">
        <v>7</v>
      </c>
      <c r="B45" t="s">
        <v>16</v>
      </c>
      <c r="C45">
        <v>34000</v>
      </c>
    </row>
    <row r="46" spans="1:3" x14ac:dyDescent="0.25">
      <c r="A46" t="s">
        <v>8</v>
      </c>
      <c r="B46" t="s">
        <v>16</v>
      </c>
      <c r="C46">
        <v>24000</v>
      </c>
    </row>
    <row r="47" spans="1:3" x14ac:dyDescent="0.25">
      <c r="A47" t="s">
        <v>3</v>
      </c>
      <c r="B47" t="s">
        <v>17</v>
      </c>
      <c r="C47">
        <v>59000</v>
      </c>
    </row>
    <row r="48" spans="1:3" x14ac:dyDescent="0.25">
      <c r="A48" t="s">
        <v>5</v>
      </c>
      <c r="B48" t="s">
        <v>17</v>
      </c>
      <c r="C48">
        <v>49000</v>
      </c>
    </row>
    <row r="49" spans="1:3" x14ac:dyDescent="0.25">
      <c r="A49" t="s">
        <v>6</v>
      </c>
      <c r="B49" t="s">
        <v>17</v>
      </c>
      <c r="C49">
        <v>19000</v>
      </c>
    </row>
    <row r="50" spans="1:3" x14ac:dyDescent="0.25">
      <c r="A50" t="s">
        <v>7</v>
      </c>
      <c r="B50" t="s">
        <v>17</v>
      </c>
      <c r="C50">
        <v>34000</v>
      </c>
    </row>
    <row r="51" spans="1:3" x14ac:dyDescent="0.25">
      <c r="A51" t="s">
        <v>8</v>
      </c>
      <c r="B51" t="s">
        <v>17</v>
      </c>
      <c r="C51">
        <v>24000</v>
      </c>
    </row>
    <row r="52" spans="1:3" x14ac:dyDescent="0.25">
      <c r="A52" t="s">
        <v>3</v>
      </c>
      <c r="B52" t="s">
        <v>18</v>
      </c>
      <c r="C52">
        <v>60000</v>
      </c>
    </row>
    <row r="53" spans="1:3" x14ac:dyDescent="0.25">
      <c r="A53" t="s">
        <v>5</v>
      </c>
      <c r="B53" t="s">
        <v>18</v>
      </c>
      <c r="C53">
        <v>50000</v>
      </c>
    </row>
    <row r="54" spans="1:3" x14ac:dyDescent="0.25">
      <c r="A54" t="s">
        <v>6</v>
      </c>
      <c r="B54" t="s">
        <v>18</v>
      </c>
      <c r="C54">
        <v>20000</v>
      </c>
    </row>
    <row r="55" spans="1:3" x14ac:dyDescent="0.25">
      <c r="A55" t="s">
        <v>7</v>
      </c>
      <c r="B55" t="s">
        <v>18</v>
      </c>
      <c r="C55">
        <v>35000</v>
      </c>
    </row>
    <row r="56" spans="1:3" x14ac:dyDescent="0.25">
      <c r="A56" t="s">
        <v>8</v>
      </c>
      <c r="B56" t="s">
        <v>18</v>
      </c>
      <c r="C56">
        <v>25000</v>
      </c>
    </row>
    <row r="57" spans="1:3" x14ac:dyDescent="0.25">
      <c r="A57" t="s">
        <v>3</v>
      </c>
      <c r="B57" t="s">
        <v>19</v>
      </c>
      <c r="C57">
        <v>62000</v>
      </c>
    </row>
    <row r="58" spans="1:3" x14ac:dyDescent="0.25">
      <c r="A58" t="s">
        <v>5</v>
      </c>
      <c r="B58" t="s">
        <v>19</v>
      </c>
      <c r="C58">
        <v>52000</v>
      </c>
    </row>
    <row r="59" spans="1:3" x14ac:dyDescent="0.25">
      <c r="A59" t="s">
        <v>6</v>
      </c>
      <c r="B59" t="s">
        <v>19</v>
      </c>
      <c r="C59">
        <v>21000</v>
      </c>
    </row>
    <row r="60" spans="1:3" x14ac:dyDescent="0.25">
      <c r="A60" t="s">
        <v>7</v>
      </c>
      <c r="B60" t="s">
        <v>19</v>
      </c>
      <c r="C60">
        <v>36000</v>
      </c>
    </row>
    <row r="61" spans="1:3" x14ac:dyDescent="0.25">
      <c r="A61" t="s">
        <v>8</v>
      </c>
      <c r="B61" t="s">
        <v>19</v>
      </c>
      <c r="C61">
        <v>26000</v>
      </c>
    </row>
    <row r="62" spans="1:3" x14ac:dyDescent="0.25">
      <c r="C62">
        <f>SUM(C2:C61)</f>
        <v>2087000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1146-E4D2-4305-A1AC-899E0326C06B}">
  <dimension ref="A1:D52"/>
  <sheetViews>
    <sheetView zoomScale="86" workbookViewId="0">
      <selection activeCell="H14" sqref="H14"/>
    </sheetView>
  </sheetViews>
  <sheetFormatPr defaultRowHeight="15" x14ac:dyDescent="0.25"/>
  <sheetData>
    <row r="1" spans="1:4" x14ac:dyDescent="0.25">
      <c r="A1" t="s">
        <v>20</v>
      </c>
      <c r="B1" t="s">
        <v>0</v>
      </c>
      <c r="C1" t="s">
        <v>21</v>
      </c>
      <c r="D1" t="s">
        <v>22</v>
      </c>
    </row>
    <row r="2" spans="1:4" x14ac:dyDescent="0.25">
      <c r="A2" s="1">
        <v>46024</v>
      </c>
      <c r="B2" t="s">
        <v>3</v>
      </c>
      <c r="C2" t="s">
        <v>23</v>
      </c>
      <c r="D2">
        <v>7000</v>
      </c>
    </row>
    <row r="3" spans="1:4" x14ac:dyDescent="0.25">
      <c r="A3" s="1">
        <v>46025</v>
      </c>
      <c r="B3" t="s">
        <v>5</v>
      </c>
      <c r="C3" t="s">
        <v>24</v>
      </c>
      <c r="D3">
        <v>12000</v>
      </c>
    </row>
    <row r="4" spans="1:4" x14ac:dyDescent="0.25">
      <c r="A4" s="1">
        <v>46026</v>
      </c>
      <c r="B4" t="s">
        <v>6</v>
      </c>
      <c r="C4" t="s">
        <v>25</v>
      </c>
      <c r="D4">
        <v>3000</v>
      </c>
    </row>
    <row r="5" spans="1:4" x14ac:dyDescent="0.25">
      <c r="A5" s="1">
        <v>46027</v>
      </c>
      <c r="B5" t="s">
        <v>7</v>
      </c>
      <c r="C5" t="s">
        <v>26</v>
      </c>
      <c r="D5">
        <v>8000</v>
      </c>
    </row>
    <row r="6" spans="1:4" x14ac:dyDescent="0.25">
      <c r="A6" s="1">
        <v>46028</v>
      </c>
      <c r="B6" t="s">
        <v>8</v>
      </c>
      <c r="C6" t="s">
        <v>27</v>
      </c>
      <c r="D6">
        <v>2000</v>
      </c>
    </row>
    <row r="7" spans="1:4" x14ac:dyDescent="0.25">
      <c r="A7" s="1">
        <v>46032</v>
      </c>
      <c r="B7" t="s">
        <v>3</v>
      </c>
      <c r="C7" t="s">
        <v>28</v>
      </c>
      <c r="D7">
        <v>5000</v>
      </c>
    </row>
    <row r="8" spans="1:4" x14ac:dyDescent="0.25">
      <c r="A8" s="1">
        <v>46034</v>
      </c>
      <c r="B8" t="s">
        <v>5</v>
      </c>
      <c r="C8" t="s">
        <v>29</v>
      </c>
      <c r="D8">
        <v>9000</v>
      </c>
    </row>
    <row r="9" spans="1:4" x14ac:dyDescent="0.25">
      <c r="A9" s="1">
        <v>46037</v>
      </c>
      <c r="B9" t="s">
        <v>7</v>
      </c>
      <c r="C9" t="s">
        <v>30</v>
      </c>
      <c r="D9">
        <v>12000</v>
      </c>
    </row>
    <row r="10" spans="1:4" x14ac:dyDescent="0.25">
      <c r="A10" s="1">
        <v>46040</v>
      </c>
      <c r="B10" t="s">
        <v>6</v>
      </c>
      <c r="C10" t="s">
        <v>31</v>
      </c>
      <c r="D10">
        <v>4000</v>
      </c>
    </row>
    <row r="11" spans="1:4" x14ac:dyDescent="0.25">
      <c r="A11" s="1">
        <v>46042</v>
      </c>
      <c r="B11" t="s">
        <v>8</v>
      </c>
      <c r="C11" t="s">
        <v>32</v>
      </c>
      <c r="D11">
        <v>6000</v>
      </c>
    </row>
    <row r="12" spans="1:4" x14ac:dyDescent="0.25">
      <c r="A12" s="1">
        <v>46056</v>
      </c>
      <c r="B12" t="s">
        <v>3</v>
      </c>
      <c r="C12" t="s">
        <v>23</v>
      </c>
      <c r="D12">
        <v>6500</v>
      </c>
    </row>
    <row r="13" spans="1:4" x14ac:dyDescent="0.25">
      <c r="A13" s="1">
        <v>46058</v>
      </c>
      <c r="B13" t="s">
        <v>5</v>
      </c>
      <c r="C13" t="s">
        <v>24</v>
      </c>
      <c r="D13">
        <v>13000</v>
      </c>
    </row>
    <row r="14" spans="1:4" x14ac:dyDescent="0.25">
      <c r="A14" s="1">
        <v>46060</v>
      </c>
      <c r="B14" t="s">
        <v>6</v>
      </c>
      <c r="C14" t="s">
        <v>25</v>
      </c>
      <c r="D14">
        <v>3500</v>
      </c>
    </row>
    <row r="15" spans="1:4" x14ac:dyDescent="0.25">
      <c r="A15" s="1">
        <v>46062</v>
      </c>
      <c r="B15" t="s">
        <v>7</v>
      </c>
      <c r="C15" t="s">
        <v>26</v>
      </c>
      <c r="D15">
        <v>8500</v>
      </c>
    </row>
    <row r="16" spans="1:4" x14ac:dyDescent="0.25">
      <c r="A16" s="1">
        <v>46064</v>
      </c>
      <c r="B16" t="s">
        <v>8</v>
      </c>
      <c r="C16" t="s">
        <v>27</v>
      </c>
      <c r="D16">
        <v>1800</v>
      </c>
    </row>
    <row r="17" spans="1:4" x14ac:dyDescent="0.25">
      <c r="A17" s="1">
        <v>46068</v>
      </c>
      <c r="B17" t="s">
        <v>3</v>
      </c>
      <c r="C17" t="s">
        <v>28</v>
      </c>
      <c r="D17">
        <v>5200</v>
      </c>
    </row>
    <row r="18" spans="1:4" x14ac:dyDescent="0.25">
      <c r="A18" s="1">
        <v>46071</v>
      </c>
      <c r="B18" t="s">
        <v>5</v>
      </c>
      <c r="C18" t="s">
        <v>33</v>
      </c>
      <c r="D18">
        <v>10000</v>
      </c>
    </row>
    <row r="19" spans="1:4" x14ac:dyDescent="0.25">
      <c r="A19" s="1">
        <v>46073</v>
      </c>
      <c r="B19" t="s">
        <v>7</v>
      </c>
      <c r="C19" t="s">
        <v>30</v>
      </c>
      <c r="D19">
        <v>10000</v>
      </c>
    </row>
    <row r="20" spans="1:4" x14ac:dyDescent="0.25">
      <c r="A20" s="1">
        <v>46076</v>
      </c>
      <c r="B20" t="s">
        <v>6</v>
      </c>
      <c r="C20" t="s">
        <v>31</v>
      </c>
      <c r="D20">
        <v>4500</v>
      </c>
    </row>
    <row r="21" spans="1:4" x14ac:dyDescent="0.25">
      <c r="A21" s="1">
        <v>46078</v>
      </c>
      <c r="B21" t="s">
        <v>8</v>
      </c>
      <c r="C21" t="s">
        <v>32</v>
      </c>
      <c r="D21">
        <v>5500</v>
      </c>
    </row>
    <row r="22" spans="1:4" x14ac:dyDescent="0.25">
      <c r="A22" s="1">
        <v>46083</v>
      </c>
      <c r="B22" t="s">
        <v>3</v>
      </c>
      <c r="C22" t="s">
        <v>23</v>
      </c>
      <c r="D22">
        <v>7200</v>
      </c>
    </row>
    <row r="23" spans="1:4" x14ac:dyDescent="0.25">
      <c r="A23" s="1">
        <v>46085</v>
      </c>
      <c r="B23" t="s">
        <v>5</v>
      </c>
      <c r="C23" t="s">
        <v>24</v>
      </c>
      <c r="D23">
        <v>14000</v>
      </c>
    </row>
    <row r="24" spans="1:4" x14ac:dyDescent="0.25">
      <c r="A24" s="1">
        <v>46087</v>
      </c>
      <c r="B24" t="s">
        <v>6</v>
      </c>
      <c r="C24" t="s">
        <v>25</v>
      </c>
      <c r="D24">
        <v>3800</v>
      </c>
    </row>
    <row r="25" spans="1:4" x14ac:dyDescent="0.25">
      <c r="A25" s="1">
        <v>46089</v>
      </c>
      <c r="B25" t="s">
        <v>7</v>
      </c>
      <c r="C25" t="s">
        <v>26</v>
      </c>
      <c r="D25">
        <v>9000</v>
      </c>
    </row>
    <row r="26" spans="1:4" x14ac:dyDescent="0.25">
      <c r="A26" s="1">
        <v>46091</v>
      </c>
      <c r="B26" t="s">
        <v>8</v>
      </c>
      <c r="C26" t="s">
        <v>27</v>
      </c>
      <c r="D26">
        <v>2200</v>
      </c>
    </row>
    <row r="27" spans="1:4" x14ac:dyDescent="0.25">
      <c r="A27" s="1">
        <v>46095</v>
      </c>
      <c r="B27" t="s">
        <v>3</v>
      </c>
      <c r="C27" t="s">
        <v>28</v>
      </c>
      <c r="D27">
        <v>4800</v>
      </c>
    </row>
    <row r="28" spans="1:4" x14ac:dyDescent="0.25">
      <c r="A28" s="1">
        <v>46098</v>
      </c>
      <c r="B28" t="s">
        <v>5</v>
      </c>
      <c r="C28" t="s">
        <v>29</v>
      </c>
      <c r="D28">
        <v>9500</v>
      </c>
    </row>
    <row r="29" spans="1:4" x14ac:dyDescent="0.25">
      <c r="A29" s="1">
        <v>46101</v>
      </c>
      <c r="B29" t="s">
        <v>7</v>
      </c>
      <c r="C29" t="s">
        <v>30</v>
      </c>
      <c r="D29">
        <v>11000</v>
      </c>
    </row>
    <row r="30" spans="1:4" x14ac:dyDescent="0.25">
      <c r="A30" s="1">
        <v>46105</v>
      </c>
      <c r="B30" t="s">
        <v>6</v>
      </c>
      <c r="C30" t="s">
        <v>31</v>
      </c>
      <c r="D30">
        <v>4200</v>
      </c>
    </row>
    <row r="31" spans="1:4" x14ac:dyDescent="0.25">
      <c r="A31" s="1">
        <v>46109</v>
      </c>
      <c r="B31" t="s">
        <v>8</v>
      </c>
      <c r="C31" t="s">
        <v>32</v>
      </c>
      <c r="D31">
        <v>6200</v>
      </c>
    </row>
    <row r="32" spans="1:4" x14ac:dyDescent="0.25">
      <c r="A32" s="1">
        <v>46115</v>
      </c>
      <c r="B32" t="s">
        <v>3</v>
      </c>
      <c r="C32" t="s">
        <v>23</v>
      </c>
      <c r="D32">
        <v>7500</v>
      </c>
    </row>
    <row r="33" spans="1:4" x14ac:dyDescent="0.25">
      <c r="A33" s="1">
        <v>46117</v>
      </c>
      <c r="B33" t="s">
        <v>5</v>
      </c>
      <c r="C33" t="s">
        <v>24</v>
      </c>
      <c r="D33">
        <v>14500</v>
      </c>
    </row>
    <row r="34" spans="1:4" x14ac:dyDescent="0.25">
      <c r="A34" s="1">
        <v>46120</v>
      </c>
      <c r="B34" t="s">
        <v>6</v>
      </c>
      <c r="C34" t="s">
        <v>25</v>
      </c>
      <c r="D34">
        <v>4000</v>
      </c>
    </row>
    <row r="35" spans="1:4" x14ac:dyDescent="0.25">
      <c r="A35" s="1">
        <v>46122</v>
      </c>
      <c r="B35" t="s">
        <v>7</v>
      </c>
      <c r="C35" t="s">
        <v>26</v>
      </c>
      <c r="D35">
        <v>9500</v>
      </c>
    </row>
    <row r="36" spans="1:4" x14ac:dyDescent="0.25">
      <c r="A36" s="1">
        <v>46124</v>
      </c>
      <c r="B36" t="s">
        <v>8</v>
      </c>
      <c r="C36" t="s">
        <v>27</v>
      </c>
      <c r="D36">
        <v>2400</v>
      </c>
    </row>
    <row r="37" spans="1:4" x14ac:dyDescent="0.25">
      <c r="A37" s="1">
        <v>46128</v>
      </c>
      <c r="B37" t="s">
        <v>3</v>
      </c>
      <c r="C37" t="s">
        <v>28</v>
      </c>
      <c r="D37">
        <v>5300</v>
      </c>
    </row>
    <row r="38" spans="1:4" x14ac:dyDescent="0.25">
      <c r="A38" s="1">
        <v>46130</v>
      </c>
      <c r="B38" t="s">
        <v>5</v>
      </c>
      <c r="C38" t="s">
        <v>33</v>
      </c>
      <c r="D38">
        <v>10500</v>
      </c>
    </row>
    <row r="39" spans="1:4" x14ac:dyDescent="0.25">
      <c r="A39" s="1">
        <v>46133</v>
      </c>
      <c r="B39" t="s">
        <v>7</v>
      </c>
      <c r="C39" t="s">
        <v>30</v>
      </c>
      <c r="D39">
        <v>11500</v>
      </c>
    </row>
    <row r="40" spans="1:4" x14ac:dyDescent="0.25">
      <c r="A40" s="1">
        <v>46136</v>
      </c>
      <c r="B40" t="s">
        <v>6</v>
      </c>
      <c r="C40" t="s">
        <v>31</v>
      </c>
      <c r="D40">
        <v>4500</v>
      </c>
    </row>
    <row r="41" spans="1:4" x14ac:dyDescent="0.25">
      <c r="A41" s="1">
        <v>46139</v>
      </c>
      <c r="B41" t="s">
        <v>8</v>
      </c>
      <c r="C41" t="s">
        <v>32</v>
      </c>
      <c r="D41">
        <v>6500</v>
      </c>
    </row>
    <row r="42" spans="1:4" x14ac:dyDescent="0.25">
      <c r="A42" s="1">
        <v>46147</v>
      </c>
      <c r="B42" t="s">
        <v>3</v>
      </c>
      <c r="C42" t="s">
        <v>23</v>
      </c>
      <c r="D42">
        <v>7800</v>
      </c>
    </row>
    <row r="43" spans="1:4" x14ac:dyDescent="0.25">
      <c r="A43" s="1">
        <v>46150</v>
      </c>
      <c r="B43" t="s">
        <v>5</v>
      </c>
      <c r="C43" t="s">
        <v>24</v>
      </c>
      <c r="D43">
        <v>15000</v>
      </c>
    </row>
    <row r="44" spans="1:4" x14ac:dyDescent="0.25">
      <c r="A44" s="1">
        <v>46152</v>
      </c>
      <c r="B44" t="s">
        <v>6</v>
      </c>
      <c r="C44" t="s">
        <v>25</v>
      </c>
      <c r="D44">
        <v>4200</v>
      </c>
    </row>
    <row r="45" spans="1:4" x14ac:dyDescent="0.25">
      <c r="A45" s="1">
        <v>46155</v>
      </c>
      <c r="B45" t="s">
        <v>7</v>
      </c>
      <c r="C45" t="s">
        <v>26</v>
      </c>
      <c r="D45">
        <v>9800</v>
      </c>
    </row>
    <row r="46" spans="1:4" x14ac:dyDescent="0.25">
      <c r="A46" s="1">
        <v>46157</v>
      </c>
      <c r="B46" t="s">
        <v>8</v>
      </c>
      <c r="C46" t="s">
        <v>27</v>
      </c>
      <c r="D46">
        <v>2500</v>
      </c>
    </row>
    <row r="47" spans="1:4" x14ac:dyDescent="0.25">
      <c r="A47" s="1">
        <v>46160</v>
      </c>
      <c r="B47" t="s">
        <v>3</v>
      </c>
      <c r="C47" t="s">
        <v>28</v>
      </c>
      <c r="D47">
        <v>5500</v>
      </c>
    </row>
    <row r="48" spans="1:4" x14ac:dyDescent="0.25">
      <c r="A48" s="1">
        <v>46163</v>
      </c>
      <c r="B48" t="s">
        <v>5</v>
      </c>
      <c r="C48" t="s">
        <v>29</v>
      </c>
      <c r="D48">
        <v>9800</v>
      </c>
    </row>
    <row r="49" spans="1:4" x14ac:dyDescent="0.25">
      <c r="A49" s="1">
        <v>46166</v>
      </c>
      <c r="B49" t="s">
        <v>7</v>
      </c>
      <c r="C49" t="s">
        <v>30</v>
      </c>
      <c r="D49">
        <v>12000</v>
      </c>
    </row>
    <row r="50" spans="1:4" x14ac:dyDescent="0.25">
      <c r="A50" s="1">
        <v>46169</v>
      </c>
      <c r="B50" t="s">
        <v>6</v>
      </c>
      <c r="C50" t="s">
        <v>31</v>
      </c>
      <c r="D50">
        <v>4700</v>
      </c>
    </row>
    <row r="51" spans="1:4" x14ac:dyDescent="0.25">
      <c r="A51" s="1">
        <v>46172</v>
      </c>
      <c r="B51" t="s">
        <v>8</v>
      </c>
      <c r="C51" t="s">
        <v>32</v>
      </c>
      <c r="D51">
        <v>6800</v>
      </c>
    </row>
    <row r="52" spans="1:4" x14ac:dyDescent="0.25">
      <c r="D52">
        <f>SUM(D2:D51)</f>
        <v>362700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78DF-A2C7-4DA7-B356-515E36FFF224}">
  <dimension ref="A1:D62"/>
  <sheetViews>
    <sheetView zoomScale="107" workbookViewId="0">
      <selection activeCell="I17" sqref="I17"/>
    </sheetView>
  </sheetViews>
  <sheetFormatPr defaultRowHeight="15" x14ac:dyDescent="0.25"/>
  <sheetData>
    <row r="1" spans="1:4" x14ac:dyDescent="0.25">
      <c r="A1" t="s">
        <v>34</v>
      </c>
      <c r="B1" t="s">
        <v>1</v>
      </c>
      <c r="C1" t="s">
        <v>35</v>
      </c>
      <c r="D1" t="s">
        <v>36</v>
      </c>
    </row>
    <row r="2" spans="1:4" x14ac:dyDescent="0.25">
      <c r="A2" t="s">
        <v>37</v>
      </c>
      <c r="B2" t="s">
        <v>4</v>
      </c>
      <c r="C2">
        <v>120000</v>
      </c>
      <c r="D2">
        <v>70000</v>
      </c>
    </row>
    <row r="3" spans="1:4" x14ac:dyDescent="0.25">
      <c r="A3" t="s">
        <v>38</v>
      </c>
      <c r="B3" t="s">
        <v>4</v>
      </c>
      <c r="C3">
        <v>80000</v>
      </c>
      <c r="D3">
        <v>60000</v>
      </c>
    </row>
    <row r="4" spans="1:4" x14ac:dyDescent="0.25">
      <c r="A4" t="s">
        <v>39</v>
      </c>
      <c r="B4" t="s">
        <v>4</v>
      </c>
      <c r="C4">
        <v>150000</v>
      </c>
      <c r="D4">
        <v>90000</v>
      </c>
    </row>
    <row r="5" spans="1:4" x14ac:dyDescent="0.25">
      <c r="A5" t="s">
        <v>40</v>
      </c>
      <c r="B5" t="s">
        <v>4</v>
      </c>
      <c r="C5">
        <v>60000</v>
      </c>
      <c r="D5">
        <v>55000</v>
      </c>
    </row>
    <row r="6" spans="1:4" x14ac:dyDescent="0.25">
      <c r="A6" t="s">
        <v>41</v>
      </c>
      <c r="B6" t="s">
        <v>4</v>
      </c>
      <c r="C6">
        <v>100000</v>
      </c>
      <c r="D6">
        <v>65000</v>
      </c>
    </row>
    <row r="7" spans="1:4" x14ac:dyDescent="0.25">
      <c r="A7" t="s">
        <v>37</v>
      </c>
      <c r="B7" t="s">
        <v>9</v>
      </c>
      <c r="C7">
        <v>125000</v>
      </c>
      <c r="D7">
        <v>72000</v>
      </c>
    </row>
    <row r="8" spans="1:4" x14ac:dyDescent="0.25">
      <c r="A8" t="s">
        <v>38</v>
      </c>
      <c r="B8" t="s">
        <v>9</v>
      </c>
      <c r="C8">
        <v>82000</v>
      </c>
      <c r="D8">
        <v>61000</v>
      </c>
    </row>
    <row r="9" spans="1:4" x14ac:dyDescent="0.25">
      <c r="A9" t="s">
        <v>39</v>
      </c>
      <c r="B9" t="s">
        <v>9</v>
      </c>
      <c r="C9">
        <v>152000</v>
      </c>
      <c r="D9">
        <v>91000</v>
      </c>
    </row>
    <row r="10" spans="1:4" x14ac:dyDescent="0.25">
      <c r="A10" t="s">
        <v>40</v>
      </c>
      <c r="B10" t="s">
        <v>9</v>
      </c>
      <c r="C10">
        <v>62000</v>
      </c>
      <c r="D10">
        <v>56000</v>
      </c>
    </row>
    <row r="11" spans="1:4" x14ac:dyDescent="0.25">
      <c r="A11" t="s">
        <v>41</v>
      </c>
      <c r="B11" t="s">
        <v>9</v>
      </c>
      <c r="C11">
        <v>102000</v>
      </c>
      <c r="D11">
        <v>66000</v>
      </c>
    </row>
    <row r="12" spans="1:4" x14ac:dyDescent="0.25">
      <c r="A12" t="s">
        <v>37</v>
      </c>
      <c r="B12" t="s">
        <v>10</v>
      </c>
      <c r="C12">
        <v>128000</v>
      </c>
      <c r="D12">
        <v>73000</v>
      </c>
    </row>
    <row r="13" spans="1:4" x14ac:dyDescent="0.25">
      <c r="A13" t="s">
        <v>38</v>
      </c>
      <c r="B13" t="s">
        <v>10</v>
      </c>
      <c r="C13">
        <v>85000</v>
      </c>
      <c r="D13">
        <v>62000</v>
      </c>
    </row>
    <row r="14" spans="1:4" x14ac:dyDescent="0.25">
      <c r="A14" t="s">
        <v>39</v>
      </c>
      <c r="B14" t="s">
        <v>10</v>
      </c>
      <c r="C14">
        <v>155000</v>
      </c>
      <c r="D14">
        <v>93000</v>
      </c>
    </row>
    <row r="15" spans="1:4" x14ac:dyDescent="0.25">
      <c r="A15" t="s">
        <v>40</v>
      </c>
      <c r="B15" t="s">
        <v>10</v>
      </c>
      <c r="C15">
        <v>64000</v>
      </c>
      <c r="D15">
        <v>57000</v>
      </c>
    </row>
    <row r="16" spans="1:4" x14ac:dyDescent="0.25">
      <c r="A16" t="s">
        <v>41</v>
      </c>
      <c r="B16" t="s">
        <v>10</v>
      </c>
      <c r="C16">
        <v>105000</v>
      </c>
      <c r="D16">
        <v>67000</v>
      </c>
    </row>
    <row r="17" spans="1:4" x14ac:dyDescent="0.25">
      <c r="A17" t="s">
        <v>37</v>
      </c>
      <c r="B17" t="s">
        <v>11</v>
      </c>
      <c r="C17">
        <v>130000</v>
      </c>
      <c r="D17">
        <v>74000</v>
      </c>
    </row>
    <row r="18" spans="1:4" x14ac:dyDescent="0.25">
      <c r="A18" t="s">
        <v>38</v>
      </c>
      <c r="B18" t="s">
        <v>11</v>
      </c>
      <c r="C18">
        <v>87000</v>
      </c>
      <c r="D18">
        <v>63000</v>
      </c>
    </row>
    <row r="19" spans="1:4" x14ac:dyDescent="0.25">
      <c r="A19" t="s">
        <v>39</v>
      </c>
      <c r="B19" t="s">
        <v>11</v>
      </c>
      <c r="C19">
        <v>158000</v>
      </c>
      <c r="D19">
        <v>94000</v>
      </c>
    </row>
    <row r="20" spans="1:4" x14ac:dyDescent="0.25">
      <c r="A20" t="s">
        <v>40</v>
      </c>
      <c r="B20" t="s">
        <v>11</v>
      </c>
      <c r="C20">
        <v>65000</v>
      </c>
      <c r="D20">
        <v>58000</v>
      </c>
    </row>
    <row r="21" spans="1:4" x14ac:dyDescent="0.25">
      <c r="A21" t="s">
        <v>41</v>
      </c>
      <c r="B21" t="s">
        <v>11</v>
      </c>
      <c r="C21">
        <v>108000</v>
      </c>
      <c r="D21">
        <v>68000</v>
      </c>
    </row>
    <row r="22" spans="1:4" x14ac:dyDescent="0.25">
      <c r="A22" t="s">
        <v>37</v>
      </c>
      <c r="B22" t="s">
        <v>12</v>
      </c>
      <c r="C22">
        <v>132000</v>
      </c>
      <c r="D22">
        <v>75000</v>
      </c>
    </row>
    <row r="23" spans="1:4" x14ac:dyDescent="0.25">
      <c r="A23" t="s">
        <v>38</v>
      </c>
      <c r="B23" t="s">
        <v>12</v>
      </c>
      <c r="C23">
        <v>89000</v>
      </c>
      <c r="D23">
        <v>64000</v>
      </c>
    </row>
    <row r="24" spans="1:4" x14ac:dyDescent="0.25">
      <c r="A24" t="s">
        <v>39</v>
      </c>
      <c r="B24" t="s">
        <v>12</v>
      </c>
      <c r="C24">
        <v>160000</v>
      </c>
      <c r="D24">
        <v>95000</v>
      </c>
    </row>
    <row r="25" spans="1:4" x14ac:dyDescent="0.25">
      <c r="A25" t="s">
        <v>40</v>
      </c>
      <c r="B25" t="s">
        <v>12</v>
      </c>
      <c r="C25">
        <v>67000</v>
      </c>
      <c r="D25">
        <v>59000</v>
      </c>
    </row>
    <row r="26" spans="1:4" x14ac:dyDescent="0.25">
      <c r="A26" t="s">
        <v>41</v>
      </c>
      <c r="B26" t="s">
        <v>12</v>
      </c>
      <c r="C26">
        <v>110000</v>
      </c>
      <c r="D26">
        <v>69000</v>
      </c>
    </row>
    <row r="27" spans="1:4" x14ac:dyDescent="0.25">
      <c r="A27" t="s">
        <v>37</v>
      </c>
      <c r="B27" t="s">
        <v>13</v>
      </c>
      <c r="C27">
        <v>135000</v>
      </c>
      <c r="D27">
        <v>76000</v>
      </c>
    </row>
    <row r="28" spans="1:4" x14ac:dyDescent="0.25">
      <c r="A28" t="s">
        <v>38</v>
      </c>
      <c r="B28" t="s">
        <v>13</v>
      </c>
      <c r="C28">
        <v>90000</v>
      </c>
      <c r="D28">
        <v>65000</v>
      </c>
    </row>
    <row r="29" spans="1:4" x14ac:dyDescent="0.25">
      <c r="A29" t="s">
        <v>39</v>
      </c>
      <c r="B29" t="s">
        <v>13</v>
      </c>
      <c r="C29">
        <v>162000</v>
      </c>
      <c r="D29">
        <v>96000</v>
      </c>
    </row>
    <row r="30" spans="1:4" x14ac:dyDescent="0.25">
      <c r="A30" t="s">
        <v>40</v>
      </c>
      <c r="B30" t="s">
        <v>13</v>
      </c>
      <c r="C30">
        <v>68000</v>
      </c>
      <c r="D30">
        <v>60000</v>
      </c>
    </row>
    <row r="31" spans="1:4" x14ac:dyDescent="0.25">
      <c r="A31" t="s">
        <v>41</v>
      </c>
      <c r="B31" t="s">
        <v>13</v>
      </c>
      <c r="C31">
        <v>112000</v>
      </c>
      <c r="D31">
        <v>70000</v>
      </c>
    </row>
    <row r="32" spans="1:4" x14ac:dyDescent="0.25">
      <c r="A32" t="s">
        <v>37</v>
      </c>
      <c r="B32" t="s">
        <v>14</v>
      </c>
      <c r="C32">
        <v>138000</v>
      </c>
      <c r="D32">
        <v>78000</v>
      </c>
    </row>
    <row r="33" spans="1:4" x14ac:dyDescent="0.25">
      <c r="A33" t="s">
        <v>38</v>
      </c>
      <c r="B33" t="s">
        <v>14</v>
      </c>
      <c r="C33">
        <v>92000</v>
      </c>
      <c r="D33">
        <v>66000</v>
      </c>
    </row>
    <row r="34" spans="1:4" x14ac:dyDescent="0.25">
      <c r="A34" t="s">
        <v>39</v>
      </c>
      <c r="B34" t="s">
        <v>14</v>
      </c>
      <c r="C34">
        <v>165000</v>
      </c>
      <c r="D34">
        <v>98000</v>
      </c>
    </row>
    <row r="35" spans="1:4" x14ac:dyDescent="0.25">
      <c r="A35" t="s">
        <v>40</v>
      </c>
      <c r="B35" t="s">
        <v>14</v>
      </c>
      <c r="C35">
        <v>70000</v>
      </c>
      <c r="D35">
        <v>61000</v>
      </c>
    </row>
    <row r="36" spans="1:4" x14ac:dyDescent="0.25">
      <c r="A36" t="s">
        <v>41</v>
      </c>
      <c r="B36" t="s">
        <v>14</v>
      </c>
      <c r="C36">
        <v>115000</v>
      </c>
      <c r="D36">
        <v>71000</v>
      </c>
    </row>
    <row r="37" spans="1:4" x14ac:dyDescent="0.25">
      <c r="A37" t="s">
        <v>37</v>
      </c>
      <c r="B37" t="s">
        <v>15</v>
      </c>
      <c r="C37">
        <v>140000</v>
      </c>
      <c r="D37">
        <v>79000</v>
      </c>
    </row>
    <row r="38" spans="1:4" x14ac:dyDescent="0.25">
      <c r="A38" t="s">
        <v>38</v>
      </c>
      <c r="B38" t="s">
        <v>15</v>
      </c>
      <c r="C38">
        <v>94000</v>
      </c>
      <c r="D38">
        <v>67000</v>
      </c>
    </row>
    <row r="39" spans="1:4" x14ac:dyDescent="0.25">
      <c r="A39" t="s">
        <v>39</v>
      </c>
      <c r="B39" t="s">
        <v>15</v>
      </c>
      <c r="C39">
        <v>168000</v>
      </c>
      <c r="D39">
        <v>99000</v>
      </c>
    </row>
    <row r="40" spans="1:4" x14ac:dyDescent="0.25">
      <c r="A40" t="s">
        <v>40</v>
      </c>
      <c r="B40" t="s">
        <v>15</v>
      </c>
      <c r="C40">
        <v>71000</v>
      </c>
      <c r="D40">
        <v>62000</v>
      </c>
    </row>
    <row r="41" spans="1:4" x14ac:dyDescent="0.25">
      <c r="A41" t="s">
        <v>41</v>
      </c>
      <c r="B41" t="s">
        <v>15</v>
      </c>
      <c r="C41">
        <v>118000</v>
      </c>
      <c r="D41">
        <v>72000</v>
      </c>
    </row>
    <row r="42" spans="1:4" x14ac:dyDescent="0.25">
      <c r="A42" t="s">
        <v>37</v>
      </c>
      <c r="B42" t="s">
        <v>16</v>
      </c>
      <c r="C42">
        <v>142000</v>
      </c>
      <c r="D42">
        <v>80000</v>
      </c>
    </row>
    <row r="43" spans="1:4" x14ac:dyDescent="0.25">
      <c r="A43" t="s">
        <v>38</v>
      </c>
      <c r="B43" t="s">
        <v>16</v>
      </c>
      <c r="C43">
        <v>96000</v>
      </c>
      <c r="D43">
        <v>68000</v>
      </c>
    </row>
    <row r="44" spans="1:4" x14ac:dyDescent="0.25">
      <c r="A44" t="s">
        <v>39</v>
      </c>
      <c r="B44" t="s">
        <v>16</v>
      </c>
      <c r="C44">
        <v>170000</v>
      </c>
      <c r="D44">
        <v>100000</v>
      </c>
    </row>
    <row r="45" spans="1:4" x14ac:dyDescent="0.25">
      <c r="A45" t="s">
        <v>40</v>
      </c>
      <c r="B45" t="s">
        <v>16</v>
      </c>
      <c r="C45">
        <v>73000</v>
      </c>
      <c r="D45">
        <v>63000</v>
      </c>
    </row>
    <row r="46" spans="1:4" x14ac:dyDescent="0.25">
      <c r="A46" t="s">
        <v>41</v>
      </c>
      <c r="B46" t="s">
        <v>16</v>
      </c>
      <c r="C46">
        <v>120000</v>
      </c>
      <c r="D46">
        <v>73000</v>
      </c>
    </row>
    <row r="47" spans="1:4" x14ac:dyDescent="0.25">
      <c r="A47" t="s">
        <v>37</v>
      </c>
      <c r="B47" t="s">
        <v>17</v>
      </c>
      <c r="C47">
        <v>145000</v>
      </c>
      <c r="D47">
        <v>82000</v>
      </c>
    </row>
    <row r="48" spans="1:4" x14ac:dyDescent="0.25">
      <c r="A48" t="s">
        <v>38</v>
      </c>
      <c r="B48" t="s">
        <v>17</v>
      </c>
      <c r="C48">
        <v>98000</v>
      </c>
      <c r="D48">
        <v>69000</v>
      </c>
    </row>
    <row r="49" spans="1:4" x14ac:dyDescent="0.25">
      <c r="A49" t="s">
        <v>39</v>
      </c>
      <c r="B49" t="s">
        <v>17</v>
      </c>
      <c r="C49">
        <v>172000</v>
      </c>
      <c r="D49">
        <v>101000</v>
      </c>
    </row>
    <row r="50" spans="1:4" x14ac:dyDescent="0.25">
      <c r="A50" t="s">
        <v>40</v>
      </c>
      <c r="B50" t="s">
        <v>17</v>
      </c>
      <c r="C50">
        <v>75000</v>
      </c>
      <c r="D50">
        <v>64000</v>
      </c>
    </row>
    <row r="51" spans="1:4" x14ac:dyDescent="0.25">
      <c r="A51" t="s">
        <v>41</v>
      </c>
      <c r="B51" t="s">
        <v>17</v>
      </c>
      <c r="C51">
        <v>122000</v>
      </c>
      <c r="D51">
        <v>74000</v>
      </c>
    </row>
    <row r="52" spans="1:4" x14ac:dyDescent="0.25">
      <c r="A52" t="s">
        <v>37</v>
      </c>
      <c r="B52" t="s">
        <v>18</v>
      </c>
      <c r="C52">
        <v>148000</v>
      </c>
      <c r="D52">
        <v>83000</v>
      </c>
    </row>
    <row r="53" spans="1:4" x14ac:dyDescent="0.25">
      <c r="A53" t="s">
        <v>38</v>
      </c>
      <c r="B53" t="s">
        <v>18</v>
      </c>
      <c r="C53">
        <v>100000</v>
      </c>
      <c r="D53">
        <v>70000</v>
      </c>
    </row>
    <row r="54" spans="1:4" x14ac:dyDescent="0.25">
      <c r="A54" t="s">
        <v>39</v>
      </c>
      <c r="B54" t="s">
        <v>18</v>
      </c>
      <c r="C54">
        <v>175000</v>
      </c>
      <c r="D54">
        <v>102000</v>
      </c>
    </row>
    <row r="55" spans="1:4" x14ac:dyDescent="0.25">
      <c r="A55" t="s">
        <v>40</v>
      </c>
      <c r="B55" t="s">
        <v>18</v>
      </c>
      <c r="C55">
        <v>76000</v>
      </c>
      <c r="D55">
        <v>65000</v>
      </c>
    </row>
    <row r="56" spans="1:4" x14ac:dyDescent="0.25">
      <c r="A56" t="s">
        <v>41</v>
      </c>
      <c r="B56" t="s">
        <v>18</v>
      </c>
      <c r="C56">
        <v>125000</v>
      </c>
      <c r="D56">
        <v>75000</v>
      </c>
    </row>
    <row r="57" spans="1:4" x14ac:dyDescent="0.25">
      <c r="A57" t="s">
        <v>37</v>
      </c>
      <c r="B57" t="s">
        <v>19</v>
      </c>
      <c r="C57">
        <v>150000</v>
      </c>
      <c r="D57">
        <v>85000</v>
      </c>
    </row>
    <row r="58" spans="1:4" x14ac:dyDescent="0.25">
      <c r="A58" t="s">
        <v>38</v>
      </c>
      <c r="B58" t="s">
        <v>19</v>
      </c>
      <c r="C58">
        <v>102000</v>
      </c>
      <c r="D58">
        <v>71000</v>
      </c>
    </row>
    <row r="59" spans="1:4" x14ac:dyDescent="0.25">
      <c r="A59" t="s">
        <v>39</v>
      </c>
      <c r="B59" t="s">
        <v>19</v>
      </c>
      <c r="C59">
        <v>178000</v>
      </c>
      <c r="D59">
        <v>104000</v>
      </c>
    </row>
    <row r="60" spans="1:4" x14ac:dyDescent="0.25">
      <c r="A60" t="s">
        <v>40</v>
      </c>
      <c r="B60" t="s">
        <v>19</v>
      </c>
      <c r="C60">
        <v>78000</v>
      </c>
      <c r="D60">
        <v>66000</v>
      </c>
    </row>
    <row r="61" spans="1:4" x14ac:dyDescent="0.25">
      <c r="A61" t="s">
        <v>41</v>
      </c>
      <c r="B61" t="s">
        <v>19</v>
      </c>
      <c r="C61">
        <v>128000</v>
      </c>
      <c r="D61">
        <v>76000</v>
      </c>
    </row>
    <row r="62" spans="1:4" x14ac:dyDescent="0.25">
      <c r="C62">
        <f>SUM(C2:C61)</f>
        <v>6887000</v>
      </c>
      <c r="D62">
        <f>SUM(D2:D61)</f>
        <v>4448000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2228-0266-4BAC-B536-31BF91B19874}">
  <dimension ref="A1:B9"/>
  <sheetViews>
    <sheetView workbookViewId="0">
      <selection activeCell="K7" sqref="K7"/>
    </sheetView>
  </sheetViews>
  <sheetFormatPr defaultRowHeight="15" x14ac:dyDescent="0.25"/>
  <sheetData>
    <row r="1" spans="1:2" x14ac:dyDescent="0.25">
      <c r="A1" s="4" t="s">
        <v>47</v>
      </c>
      <c r="B1" s="4" t="s">
        <v>48</v>
      </c>
    </row>
    <row r="2" spans="1:2" ht="30" x14ac:dyDescent="0.25">
      <c r="A2" s="4" t="s">
        <v>42</v>
      </c>
      <c r="B2" s="4">
        <v>2087000</v>
      </c>
    </row>
    <row r="3" spans="1:2" ht="45" x14ac:dyDescent="0.25">
      <c r="A3" s="4" t="s">
        <v>43</v>
      </c>
      <c r="B3" s="4">
        <v>362700</v>
      </c>
    </row>
    <row r="4" spans="1:2" ht="30" x14ac:dyDescent="0.25">
      <c r="A4" s="4" t="s">
        <v>49</v>
      </c>
      <c r="B4" s="4">
        <v>6887000</v>
      </c>
    </row>
    <row r="5" spans="1:2" ht="30" x14ac:dyDescent="0.25">
      <c r="A5" s="4" t="s">
        <v>50</v>
      </c>
      <c r="B5" s="4">
        <v>4448000</v>
      </c>
    </row>
    <row r="6" spans="1:2" ht="30" x14ac:dyDescent="0.25">
      <c r="A6" s="4" t="s">
        <v>51</v>
      </c>
      <c r="B6" s="4">
        <f xml:space="preserve"> B4 - B5</f>
        <v>2439000</v>
      </c>
    </row>
    <row r="7" spans="1:2" ht="45" x14ac:dyDescent="0.25">
      <c r="A7" s="4" t="s">
        <v>52</v>
      </c>
      <c r="B7" s="4">
        <f xml:space="preserve"> (B3/B2)*100</f>
        <v>17.379012937230474</v>
      </c>
    </row>
    <row r="8" spans="1:2" ht="60" x14ac:dyDescent="0.25">
      <c r="A8" s="4" t="s">
        <v>53</v>
      </c>
      <c r="B8" s="4">
        <f xml:space="preserve"> (B6/B4)*100</f>
        <v>35.414549150573542</v>
      </c>
    </row>
    <row r="9" spans="1:2" ht="30" x14ac:dyDescent="0.25">
      <c r="A9" s="4" t="s">
        <v>54</v>
      </c>
      <c r="B9">
        <f xml:space="preserve"> B3/12</f>
        <v>30225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1E85-5AD3-4523-8C1A-167F83DF1966}">
  <dimension ref="A1:F6"/>
  <sheetViews>
    <sheetView workbookViewId="0">
      <selection activeCell="I3" sqref="I3"/>
    </sheetView>
  </sheetViews>
  <sheetFormatPr defaultRowHeight="15" x14ac:dyDescent="0.25"/>
  <cols>
    <col min="1" max="1" width="13.42578125" customWidth="1"/>
    <col min="6" max="6" width="14.42578125" customWidth="1"/>
  </cols>
  <sheetData>
    <row r="1" spans="1:6" ht="45" x14ac:dyDescent="0.25">
      <c r="A1" s="2" t="s">
        <v>0</v>
      </c>
      <c r="B1" s="3" t="s">
        <v>42</v>
      </c>
      <c r="C1" s="3" t="s">
        <v>43</v>
      </c>
      <c r="D1" s="3" t="s">
        <v>44</v>
      </c>
      <c r="E1" s="3" t="s">
        <v>45</v>
      </c>
      <c r="F1" s="2" t="s">
        <v>46</v>
      </c>
    </row>
    <row r="2" spans="1:6" x14ac:dyDescent="0.25">
      <c r="A2" s="4" t="s">
        <v>3</v>
      </c>
      <c r="B2">
        <f>SUMIF(Budget!A:A,A2,Budget!C:C)</f>
        <v>667000</v>
      </c>
      <c r="C2">
        <f>SUMIF(Expenses!B:B,A2,Expenses!D:D)</f>
        <v>61800</v>
      </c>
      <c r="D2">
        <f>B2-C2</f>
        <v>605200</v>
      </c>
      <c r="E2">
        <f>D2/B2</f>
        <v>0.90734632683658167</v>
      </c>
      <c r="F2" t="str">
        <f>IF(D2&lt;0,"Over Budget","Within Budget")</f>
        <v>Within Budget</v>
      </c>
    </row>
    <row r="3" spans="1:6" ht="30" x14ac:dyDescent="0.25">
      <c r="A3" s="4" t="s">
        <v>5</v>
      </c>
      <c r="B3">
        <f>SUMIF(Budget!A:A,A3,Budget!C:C)</f>
        <v>547000</v>
      </c>
      <c r="C3">
        <f>SUMIF(Expenses!B:B,A3,Expenses!D:D)</f>
        <v>117300</v>
      </c>
      <c r="D3">
        <f t="shared" ref="D3:D6" si="0">B3-C3</f>
        <v>429700</v>
      </c>
      <c r="E3">
        <f t="shared" ref="E3:E6" si="1">D3/B3</f>
        <v>0.78555758683729437</v>
      </c>
      <c r="F3" t="str">
        <f t="shared" ref="F3:F6" si="2">IF(D3&lt;0,"Over Budget","Within Budget")</f>
        <v>Within Budget</v>
      </c>
    </row>
    <row r="4" spans="1:6" x14ac:dyDescent="0.25">
      <c r="A4" s="4" t="s">
        <v>6</v>
      </c>
      <c r="B4">
        <f>SUMIF(Budget!A:A,A4,Budget!C:C)</f>
        <v>211000</v>
      </c>
      <c r="C4">
        <f>SUMIF(Expenses!B:B,A4,Expenses!D:D)</f>
        <v>40400</v>
      </c>
      <c r="D4">
        <f t="shared" si="0"/>
        <v>170600</v>
      </c>
      <c r="E4">
        <f t="shared" si="1"/>
        <v>0.80853080568720381</v>
      </c>
      <c r="F4" t="str">
        <f t="shared" si="2"/>
        <v>Within Budget</v>
      </c>
    </row>
    <row r="5" spans="1:6" x14ac:dyDescent="0.25">
      <c r="A5" s="4" t="s">
        <v>7</v>
      </c>
      <c r="B5">
        <f>SUMIF(Budget!A:A,A5,Budget!C:C)</f>
        <v>391000</v>
      </c>
      <c r="C5">
        <f>SUMIF(Expenses!B:B,A5,Expenses!D:D)</f>
        <v>101300</v>
      </c>
      <c r="D5">
        <f t="shared" si="0"/>
        <v>289700</v>
      </c>
      <c r="E5">
        <f t="shared" si="1"/>
        <v>0.74092071611253196</v>
      </c>
      <c r="F5" t="str">
        <f t="shared" si="2"/>
        <v>Within Budget</v>
      </c>
    </row>
    <row r="6" spans="1:6" x14ac:dyDescent="0.25">
      <c r="A6" s="4" t="s">
        <v>8</v>
      </c>
      <c r="B6">
        <f>SUMIF(Budget!A:A,A6,Budget!C:C)</f>
        <v>271000</v>
      </c>
      <c r="C6">
        <f>SUMIF(Expenses!B:B,A6,Expenses!D:D)</f>
        <v>41900</v>
      </c>
      <c r="D6">
        <f t="shared" si="0"/>
        <v>229100</v>
      </c>
      <c r="E6">
        <f t="shared" si="1"/>
        <v>0.84538745387453873</v>
      </c>
      <c r="F6" t="str">
        <f t="shared" si="2"/>
        <v>Within Budget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7108-AD1C-4F2B-A433-315FBBB93890}">
  <dimension ref="A1:E6"/>
  <sheetViews>
    <sheetView tabSelected="1" workbookViewId="0">
      <selection activeCell="I15" sqref="I15"/>
    </sheetView>
  </sheetViews>
  <sheetFormatPr defaultRowHeight="15" x14ac:dyDescent="0.25"/>
  <sheetData>
    <row r="1" spans="1:5" ht="30" x14ac:dyDescent="0.25">
      <c r="A1" s="4" t="s">
        <v>34</v>
      </c>
      <c r="B1" s="4" t="s">
        <v>49</v>
      </c>
      <c r="C1" s="4" t="s">
        <v>50</v>
      </c>
      <c r="D1" s="4" t="s">
        <v>56</v>
      </c>
      <c r="E1" s="4" t="s">
        <v>57</v>
      </c>
    </row>
    <row r="2" spans="1:5" x14ac:dyDescent="0.25">
      <c r="A2" t="s">
        <v>37</v>
      </c>
      <c r="B2" s="5">
        <f>SUMIF(Revenue!A:A,A2,Revenue!C:C)</f>
        <v>1633000</v>
      </c>
      <c r="C2">
        <f>SUMIF(Revenue!A:A,A2,Revenue!D:D)</f>
        <v>927000</v>
      </c>
      <c r="D2">
        <f>B2-C2</f>
        <v>706000</v>
      </c>
      <c r="E2" s="6">
        <f>D2/B2</f>
        <v>0.43233312921004285</v>
      </c>
    </row>
    <row r="3" spans="1:5" x14ac:dyDescent="0.25">
      <c r="A3" t="s">
        <v>38</v>
      </c>
      <c r="B3" s="5">
        <f>SUMIF(Revenue!A:A,A3,Revenue!C:C)</f>
        <v>1095000</v>
      </c>
      <c r="C3">
        <f>SUMIF(Revenue!A:A,A3,Revenue!D:D)</f>
        <v>786000</v>
      </c>
      <c r="D3">
        <f t="shared" ref="D3:D6" si="0">B3-C3</f>
        <v>309000</v>
      </c>
      <c r="E3" s="6">
        <f t="shared" ref="E3:E6" si="1">D3/B3</f>
        <v>0.28219178082191781</v>
      </c>
    </row>
    <row r="4" spans="1:5" x14ac:dyDescent="0.25">
      <c r="A4" t="s">
        <v>39</v>
      </c>
      <c r="B4" s="5">
        <f>SUMIF(Revenue!A:A,A4,Revenue!C:C)</f>
        <v>1965000</v>
      </c>
      <c r="C4">
        <f>SUMIF(Revenue!A:A,A4,Revenue!D:D)</f>
        <v>1163000</v>
      </c>
      <c r="D4">
        <f t="shared" si="0"/>
        <v>802000</v>
      </c>
      <c r="E4" s="6">
        <f t="shared" si="1"/>
        <v>0.40814249363867683</v>
      </c>
    </row>
    <row r="5" spans="1:5" x14ac:dyDescent="0.25">
      <c r="A5" t="s">
        <v>40</v>
      </c>
      <c r="B5" s="5">
        <f>SUMIF(Revenue!A:A,A5,Revenue!C:C)</f>
        <v>829000</v>
      </c>
      <c r="C5">
        <f>SUMIF(Revenue!A:A,A5,Revenue!D:D)</f>
        <v>726000</v>
      </c>
      <c r="D5">
        <f t="shared" si="0"/>
        <v>103000</v>
      </c>
      <c r="E5" s="6">
        <f t="shared" si="1"/>
        <v>0.12424607961399277</v>
      </c>
    </row>
    <row r="6" spans="1:5" x14ac:dyDescent="0.25">
      <c r="A6" t="s">
        <v>41</v>
      </c>
      <c r="B6" s="5">
        <f>SUMIF(Revenue!A:A,A6,Revenue!C:C)</f>
        <v>1365000</v>
      </c>
      <c r="C6">
        <f>SUMIF(Revenue!A:A,A6,Revenue!D:D)</f>
        <v>846000</v>
      </c>
      <c r="D6">
        <f t="shared" si="0"/>
        <v>519000</v>
      </c>
      <c r="E6" s="6">
        <f t="shared" si="1"/>
        <v>0.3802197802197802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9D4C-ECF3-4C3B-BE96-7CE2E5616403}">
  <dimension ref="A1:H5"/>
  <sheetViews>
    <sheetView zoomScale="57" zoomScaleNormal="56" workbookViewId="0">
      <selection sqref="A1:H2"/>
    </sheetView>
  </sheetViews>
  <sheetFormatPr defaultRowHeight="15" x14ac:dyDescent="0.25"/>
  <cols>
    <col min="1" max="1" width="68.5703125" customWidth="1"/>
    <col min="3" max="3" width="60" customWidth="1"/>
    <col min="5" max="5" width="55.5703125" customWidth="1"/>
    <col min="6" max="6" width="12.7109375" customWidth="1"/>
    <col min="7" max="7" width="54.7109375" customWidth="1"/>
    <col min="8" max="8" width="57.28515625" customWidth="1"/>
  </cols>
  <sheetData>
    <row r="1" spans="1:8" x14ac:dyDescent="0.25">
      <c r="A1" s="7" t="s">
        <v>58</v>
      </c>
      <c r="B1" s="8"/>
      <c r="C1" s="8"/>
      <c r="D1" s="8"/>
      <c r="E1" s="8"/>
      <c r="F1" s="8"/>
      <c r="G1" s="8"/>
      <c r="H1" s="8"/>
    </row>
    <row r="2" spans="1:8" x14ac:dyDescent="0.25">
      <c r="A2" s="8"/>
      <c r="B2" s="8"/>
      <c r="C2" s="8"/>
      <c r="D2" s="8"/>
      <c r="E2" s="8"/>
      <c r="F2" s="8"/>
      <c r="G2" s="8"/>
      <c r="H2" s="8"/>
    </row>
    <row r="4" spans="1:8" x14ac:dyDescent="0.25">
      <c r="A4" t="s">
        <v>42</v>
      </c>
      <c r="C4" t="s">
        <v>55</v>
      </c>
      <c r="E4" t="s">
        <v>49</v>
      </c>
      <c r="G4" t="s">
        <v>51</v>
      </c>
    </row>
    <row r="5" spans="1:8" x14ac:dyDescent="0.25">
      <c r="A5">
        <f>KPI!B2</f>
        <v>2087000</v>
      </c>
      <c r="C5">
        <f>KPI!B3</f>
        <v>362700</v>
      </c>
      <c r="E5">
        <f>KPI!B4</f>
        <v>6887000</v>
      </c>
      <c r="G5">
        <f>KPI!B6</f>
        <v>2439000</v>
      </c>
    </row>
  </sheetData>
  <mergeCells count="1">
    <mergeCell ref="A1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Budget</vt:lpstr>
      <vt:lpstr>Expenses</vt:lpstr>
      <vt:lpstr>Revenue</vt:lpstr>
      <vt:lpstr>KPI</vt:lpstr>
      <vt:lpstr>Variance</vt:lpstr>
      <vt:lpstr>Profitability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Anouska Mandal</dc:creator>
  <cp:lastModifiedBy>Anouska Mandal</cp:lastModifiedBy>
  <dcterms:created xsi:type="dcterms:W3CDTF">2026-07-13T13:13:32Z</dcterms:created>
  <dcterms:modified xsi:type="dcterms:W3CDTF">2026-07-16T18:28:12Z</dcterms:modified>
</cp:coreProperties>
</file>